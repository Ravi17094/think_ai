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160f4f687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" sheetId="1" r:id="R7cf8be89500644fa"/>
    <x:sheet xmlns:r="http://schemas.openxmlformats.org/officeDocument/2006/relationships" name="SourceData" sheetId="2" r:id="R001f818b40f2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#,##0"/>
    <x:numFmt numFmtId="202" formatCode="0.0%"/>
    <x:numFmt numFmtId="203" formatCode="0.000000"/>
    <x:numFmt numFmtId="204" formatCode="0.000"/>
    <x:numFmt numFmtId="205" formatCode="yyyy-mm-dd"/>
    <x:numFmt numFmtId="206" formatCode="0.0"/>
  </x:numFmts>
  <x:fonts count="4">
    <x:font>
      <x:sz val="11"/>
      <x:name val="Carlito"/>
    </x:font>
    <x:font>
      <x:sz val="10"/>
      <x:color rgb="FF25324A"/>
      <x:name val="Arial"/>
    </x:font>
    <x:font>
      <x:b/>
      <x:sz val="16"/>
      <x:color rgb="FF2532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338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7c8587e59408f" /><Relationship Type="http://schemas.openxmlformats.org/officeDocument/2006/relationships/theme" Target="/xl/theme/theme1.xml" Id="R246be048c5474434" /><Relationship Type="http://schemas.openxmlformats.org/officeDocument/2006/relationships/sharedStrings" Target="/xl/sharedStrings.xml" Id="Radc61b4b1c874fb6" /><Relationship Type="http://schemas.openxmlformats.org/officeDocument/2006/relationships/worksheet" Target="/xl/worksheets/sheet1.xml" Id="R7cf8be89500644fa" /><Relationship Type="http://schemas.openxmlformats.org/officeDocument/2006/relationships/worksheet" Target="/xl/worksheets/sheet2.xml" Id="R001f818b40f2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3388"/>
  </x:sheetPr>
  <x:sheetViews>
    <x:sheetView showGridLines="0" workbookViewId="0"/>
  </x:sheetViews>
  <x:sheetFormatPr defaultRowHeight="15"/>
  <x:cols>
    <x:col min="2" max="2" width="23" hidden="0" customWidth="1"/>
    <x:col min="3" max="3" width="20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</x:cols>
  <x:sheetData>
    <x:row r="2" ht="22" customHeight="1">
      <x:c r="B2" s="3" t="str">
        <x:v>Analytics baseline</x:v>
      </x:c>
      <x:c r="C2" s="2"/>
      <x:c r="D2" s="2"/>
      <x:c r="E2" s="2"/>
      <x:c r="F2" s="2"/>
      <x:c r="G2" s="2"/>
      <x:c r="H2" s="2"/>
    </x:row>
    <x:row r="3" ht="22" customHeight="1">
      <x:c r="B3" s="2" t="str">
        <x:v>Local PostgreSQL validation fixture. Staging baseline pending.</x:v>
      </x:c>
      <x:c r="C3" s="2"/>
      <x:c r="D3" s="2"/>
      <x:c r="E3" s="2"/>
      <x:c r="F3" s="2"/>
      <x:c r="G3" s="2"/>
      <x:c r="H3" s="2"/>
    </x:row>
    <x:row r="4" ht="22" customHeight="1">
      <x:c r="B4" s="2" t="str">
        <x:v>Measured at (UTC)</x:v>
      </x:c>
      <x:c r="C4" s="2"/>
      <x:c r="D4" s="4" t="d">
        <x:v>2026-10-23T09:38:51.265Z</x:v>
      </x:c>
      <x:c r="E4" s="2"/>
      <x:c r="F4" s="2"/>
      <x:c r="G4" s="2"/>
      <x:c r="H4" s="2"/>
    </x:row>
    <x:row r="5" ht="22" customHeight="1">
      <x:c r="B5" s="2"/>
      <x:c r="C5" s="2"/>
      <x:c r="D5" s="2"/>
      <x:c r="E5" s="2"/>
      <x:c r="F5" s="2"/>
      <x:c r="G5" s="2"/>
      <x:c r="H5" s="2"/>
    </x:row>
    <x:row r="6" ht="22" customHeight="1">
      <x:c r="B6" s="2" t="str">
        <x:v>Client data, branding and scheduled recipients are still required.</x:v>
      </x:c>
      <x:c r="C6" s="2"/>
      <x:c r="D6" s="2"/>
      <x:c r="E6" s="2"/>
      <x:c r="F6" s="2"/>
      <x:c r="G6" s="2"/>
      <x:c r="H6" s="2"/>
    </x:row>
    <x:row r="7" ht="22" customHeight="1">
      <x:c r="B7" s="2"/>
      <x:c r="C7" s="2"/>
      <x:c r="D7" s="2"/>
      <x:c r="E7" s="2"/>
      <x:c r="F7" s="2"/>
      <x:c r="G7" s="2"/>
      <x:c r="H7" s="2"/>
    </x:row>
    <x:row r="8" ht="26" customHeight="1">
      <x:c r="B8" s="7" t="str">
        <x:v>Metric</x:v>
      </x:c>
      <x:c r="C8" s="7" t="str">
        <x:v>API result</x:v>
      </x:c>
      <x:c r="D8" s="7" t="str">
        <x:v>Manual calculation</x:v>
      </x:c>
      <x:c r="E8" s="7" t="str">
        <x:v>Difference</x:v>
      </x:c>
      <x:c r="F8" s="7" t="str">
        <x:v>Comparison</x:v>
      </x:c>
      <x:c r="G8" s="2"/>
      <x:c r="H8" s="2"/>
    </x:row>
    <x:row r="9" ht="22" customHeight="1">
      <x:c r="B9" s="2" t="str">
        <x:v>Enrollments</x:v>
      </x:c>
      <x:c r="C9" s="8" t="n">
        <x:v>6</x:v>
      </x:c>
      <x:c r="D9" s="8" t="n">
        <x:f>COUNT(SourceData!B8:B13)</x:f>
        <x:v>6</x:v>
      </x:c>
      <x:c r="E9" s="10" t="n">
        <x:f>C9-D9</x:f>
        <x:v>0</x:v>
      </x:c>
      <x:c r="F9" s="2" t="str">
        <x:f>IF(ABS(E9)&lt;0.000001,"Matches","Review")</x:f>
        <x:v>Matches</x:v>
      </x:c>
      <x:c r="G9" s="2"/>
      <x:c r="H9" s="2"/>
    </x:row>
    <x:row r="10" ht="22" customHeight="1">
      <x:c r="B10" s="2" t="str">
        <x:v>Completion rate</x:v>
      </x:c>
      <x:c r="C10" s="9" t="n">
        <x:v>0.6666666666666665</x:v>
      </x:c>
      <x:c r="D10" s="9" t="n">
        <x:f>SUM(SourceData!E8:E13)/COUNT(SourceData!B8:B13)</x:f>
        <x:v>0.6666666666666666</x:v>
      </x:c>
      <x:c r="E10" s="10" t="n">
        <x:f>C10-D10</x:f>
        <x:v>-1.1102230246251565e-16</x:v>
      </x:c>
      <x:c r="F10" s="2" t="str">
        <x:f>IF(ABS(E10)&lt;0.000001,"Matches","Review")</x:f>
        <x:v>Matches</x:v>
      </x:c>
      <x:c r="G10" s="2"/>
      <x:c r="H10" s="2"/>
    </x:row>
    <x:row r="11" ht="22" customHeight="1">
      <x:c r="B11" s="2" t="str">
        <x:v>Average score</x:v>
      </x:c>
      <x:c r="C11" s="9" t="n">
        <x:v>0.6166666666666667</x:v>
      </x:c>
      <x:c r="D11" s="9" t="n">
        <x:f>AVERAGE(SourceData!F8:F13)/100</x:f>
        <x:v>0.6166666666666667</x:v>
      </x:c>
      <x:c r="E11" s="10" t="n">
        <x:f>C11-D11</x:f>
        <x:v>0</x:v>
      </x:c>
      <x:c r="F11" s="2" t="str">
        <x:f>IF(ABS(E11)&lt;0.000001,"Matches","Review")</x:f>
        <x:v>Matches</x:v>
      </x:c>
      <x:c r="G11" s="2"/>
      <x:c r="H11" s="2"/>
    </x:row>
    <x:row r="12" ht="22" customHeight="1">
      <x:c r="B12" s="2" t="str">
        <x:v>Active learners</x:v>
      </x:c>
      <x:c r="C12" s="8" t="n">
        <x:v>6</x:v>
      </x:c>
      <x:c r="D12" s="8" t="n">
        <x:f>COUNT(SourceData!G8:G13)</x:f>
        <x:v>6</x:v>
      </x:c>
      <x:c r="E12" s="10" t="n">
        <x:f>C12-D12</x:f>
        <x:v>0</x:v>
      </x:c>
      <x:c r="F12" s="2" t="str">
        <x:f>IF(ABS(E12)&lt;0.000001,"Matches","Review")</x:f>
        <x:v>Matches</x:v>
      </x:c>
      <x:c r="G12" s="2"/>
      <x:c r="H12" s="2"/>
    </x:row>
    <x:row r="13" ht="22" customHeight="1">
      <x:c r="B13" s="2" t="str">
        <x:v>Attendance</x:v>
      </x:c>
      <x:c r="C13" s="9" t="n">
        <x:v>0.75</x:v>
      </x:c>
      <x:c r="D13" s="9" t="n">
        <x:f>SUM(SourceData!G18:G22)/SUM(SourceData!F18:F22)</x:f>
        <x:v>0.75</x:v>
      </x:c>
      <x:c r="E13" s="10" t="n">
        <x:f>C13-D13</x:f>
        <x:v>0</x:v>
      </x:c>
      <x:c r="F13" s="2" t="str">
        <x:f>IF(ABS(E13)&lt;0.000001,"Matches","Review")</x:f>
        <x:v>Matches</x:v>
      </x:c>
      <x:c r="G13" s="2"/>
      <x:c r="H13" s="2"/>
    </x:row>
    <x:row r="14" ht="22" customHeight="1">
      <x:c r="B14" s="2"/>
      <x:c r="C14" s="2"/>
      <x:c r="D14" s="2"/>
      <x:c r="E14" s="2"/>
      <x:c r="F14" s="2"/>
      <x:c r="G14" s="2"/>
      <x:c r="H14" s="2"/>
    </x:row>
    <x:row r="15" ht="22" customHeight="1">
      <x:c r="B15" s="2" t="str">
        <x:v>Attendance excludes EXCUSED. Client definition pending confirmation.</x:v>
      </x:c>
      <x:c r="C15" s="2"/>
      <x:c r="D15" s="2"/>
      <x:c r="E15" s="2"/>
      <x:c r="F15" s="2"/>
      <x:c r="G15" s="2"/>
      <x:c r="H15" s="2"/>
    </x:row>
    <x:row r="16" ht="22" customHeight="1">
      <x:c r="B16" s="2"/>
      <x:c r="C16" s="2"/>
      <x:c r="D16" s="2"/>
      <x:c r="E16" s="2"/>
      <x:c r="F16" s="2"/>
      <x:c r="G16" s="2"/>
      <x:c r="H16" s="2"/>
    </x:row>
    <x:row r="17" ht="26" customHeight="1">
      <x:c r="B17" s="7" t="str">
        <x:v>Query grouping</x:v>
      </x:c>
      <x:c r="C17" s="7" t="str">
        <x:v>Queries</x:v>
      </x:c>
      <x:c r="D17" s="7" t="str">
        <x:v>p50 (ms)</x:v>
      </x:c>
      <x:c r="E17" s="7" t="str">
        <x:v>p95 (ms)</x:v>
      </x:c>
      <x:c r="F17" s="7" t="str">
        <x:v>p99 (ms)</x:v>
      </x:c>
      <x:c r="G17" s="2"/>
      <x:c r="H17" s="2"/>
    </x:row>
    <x:row r="18" ht="22" customHeight="1">
      <x:c r="B18" s="2" t="str">
        <x:v>weekly</x:v>
      </x:c>
      <x:c r="C18" s="2" t="n">
        <x:v>5</x:v>
      </x:c>
      <x:c r="D18" s="11" t="n">
        <x:f>MEDIAN(SourceData!D28:D32)</x:f>
        <x:v>13.923</x:v>
      </x:c>
      <x:c r="E18" s="11" t="n">
        <x:f>MAX(SourceData!D28:D32)</x:f>
        <x:v>155.553</x:v>
      </x:c>
      <x:c r="F18" s="11" t="n">
        <x:f>MAX(SourceData!D28:D32)</x:f>
        <x:v>155.553</x:v>
      </x:c>
      <x:c r="G18" s="2"/>
      <x:c r="H18" s="2"/>
    </x:row>
    <x:row r="19" ht="22" customHeight="1">
      <x:c r="B19" s="2" t="str">
        <x:v>monthly</x:v>
      </x:c>
      <x:c r="C19" s="2" t="n">
        <x:v>5</x:v>
      </x:c>
      <x:c r="D19" s="11" t="n">
        <x:f>MEDIAN(SourceData!D33:D37)</x:f>
        <x:v>6.189</x:v>
      </x:c>
      <x:c r="E19" s="11" t="n">
        <x:f>MAX(SourceData!D33:D37)</x:f>
        <x:v>12.133</x:v>
      </x:c>
      <x:c r="F19" s="11" t="n">
        <x:f>MAX(SourceData!D33:D37)</x:f>
        <x:v>12.133</x:v>
      </x:c>
      <x:c r="G19" s="2"/>
      <x:c r="H19" s="2"/>
    </x:row>
    <x:row r="20" ht="22" customHeight="1">
      <x:c r="B20" s="2" t="str">
        <x:v>quarterly</x:v>
      </x:c>
      <x:c r="C20" s="2" t="n">
        <x:v>5</x:v>
      </x:c>
      <x:c r="D20" s="11" t="n">
        <x:f>MEDIAN(SourceData!D38:D42)</x:f>
        <x:v>5.249</x:v>
      </x:c>
      <x:c r="E20" s="11" t="n">
        <x:f>MAX(SourceData!D38:D42)</x:f>
        <x:v>6.176</x:v>
      </x:c>
      <x:c r="F20" s="11" t="n">
        <x:f>MAX(SourceData!D38:D42)</x:f>
        <x:v>6.176</x:v>
      </x:c>
      <x:c r="G20" s="2"/>
      <x:c r="H20" s="2"/>
    </x:row>
    <x:row r="21" ht="22" customHeight="1">
      <x:c r="B21" s="2"/>
      <x:c r="C21" s="2"/>
      <x:c r="D21" s="2"/>
      <x:c r="E21" s="2"/>
      <x:c r="F21" s="2"/>
      <x:c r="G21" s="2"/>
      <x:c r="H21" s="2"/>
    </x:row>
    <x:row r="22" ht="22" customHeight="1">
      <x:c r="B22" s="2" t="str">
        <x:v>Nearest-rank percentiles. With five queries, p95 and p99 are the maximum.</x:v>
      </x:c>
      <x:c r="C22" s="2"/>
      <x:c r="D22" s="2"/>
      <x:c r="E22" s="2"/>
      <x:c r="F22" s="2"/>
      <x:c r="G22" s="2"/>
      <x:c r="H22" s="2"/>
    </x:row>
    <x:row r="23" ht="22" customHeight="1">
      <x:c r="B23" s="2"/>
      <x:c r="C23" s="2"/>
      <x:c r="D23" s="2"/>
      <x:c r="E23" s="2"/>
      <x:c r="F23" s="2"/>
      <x:c r="G23" s="2"/>
      <x:c r="H23" s="2"/>
    </x:row>
    <x:row r="24" ht="26" customHeight="1">
      <x:c r="B24" s="7" t="str">
        <x:v>Grouping</x:v>
      </x:c>
      <x:c r="C24" s="7" t="str">
        <x:v>Period</x:v>
      </x:c>
      <x:c r="D24" s="7" t="str">
        <x:v>API count</x:v>
      </x:c>
      <x:c r="E24" s="7" t="str">
        <x:v>Manual count</x:v>
      </x:c>
      <x:c r="F24" s="7" t="str">
        <x:v>Difference</x:v>
      </x:c>
      <x:c r="G24" s="7" t="str">
        <x:v>Comparison</x:v>
      </x:c>
      <x:c r="H24" s="2"/>
    </x:row>
    <x:row r="25" ht="22" customHeight="1">
      <x:c r="B25" s="2" t="str">
        <x:v>weekly</x:v>
      </x:c>
      <x:c r="C25" s="2" t="str">
        <x:v>2026-01-12</x:v>
      </x:c>
      <x:c r="D25" s="2" t="n">
        <x:v>1</x:v>
      </x:c>
      <x:c r="E25" s="2" t="n">
        <x:f>COUNTIFS(SourceData!C$8:C$13,"&gt;="&amp;DATE(2026,1,12),SourceData!C$8:C$13,"&lt;"&amp;DATE(2026,1,19))</x:f>
        <x:v>1</x:v>
      </x:c>
      <x:c r="F25" s="2" t="n">
        <x:f>D25-E25</x:f>
        <x:v>0</x:v>
      </x:c>
      <x:c r="G25" s="2" t="str">
        <x:f>IF(F25=0,"Matches","Review")</x:f>
        <x:v>Matches</x:v>
      </x:c>
      <x:c r="H25" s="2"/>
    </x:row>
    <x:row r="26" ht="22" customHeight="1">
      <x:c r="B26" s="2" t="str">
        <x:v>weekly</x:v>
      </x:c>
      <x:c r="C26" s="2" t="str">
        <x:v>2026-03-30</x:v>
      </x:c>
      <x:c r="D26" s="2" t="n">
        <x:v>2</x:v>
      </x:c>
      <x:c r="E26" s="2" t="n">
        <x:f>COUNTIFS(SourceData!C$8:C$13,"&gt;="&amp;DATE(2026,3,30),SourceData!C$8:C$13,"&lt;"&amp;DATE(2026,4,6))</x:f>
        <x:v>2</x:v>
      </x:c>
      <x:c r="F26" s="2" t="n">
        <x:f>D26-E26</x:f>
        <x:v>0</x:v>
      </x:c>
      <x:c r="G26" s="2" t="str">
        <x:f>IF(F26=0,"Matches","Review")</x:f>
        <x:v>Matches</x:v>
      </x:c>
      <x:c r="H26" s="2"/>
    </x:row>
    <x:row r="27" ht="22" customHeight="1">
      <x:c r="B27" s="2" t="str">
        <x:v>weekly</x:v>
      </x:c>
      <x:c r="C27" s="2" t="str">
        <x:v>2026-06-29</x:v>
      </x:c>
      <x:c r="D27" s="2" t="n">
        <x:v>1</x:v>
      </x:c>
      <x:c r="E27" s="2" t="n">
        <x:f>COUNTIFS(SourceData!C$8:C$13,"&gt;="&amp;DATE(2026,6,29),SourceData!C$8:C$13,"&lt;"&amp;DATE(2026,7,6))</x:f>
        <x:v>1</x:v>
      </x:c>
      <x:c r="F27" s="2" t="n">
        <x:f>D27-E27</x:f>
        <x:v>0</x:v>
      </x:c>
      <x:c r="G27" s="2" t="str">
        <x:f>IF(F27=0,"Matches","Review")</x:f>
        <x:v>Matches</x:v>
      </x:c>
      <x:c r="H27" s="2"/>
    </x:row>
    <x:row r="28" ht="22" customHeight="1">
      <x:c r="B28" s="2" t="str">
        <x:v>weekly</x:v>
      </x:c>
      <x:c r="C28" s="2" t="str">
        <x:v>2026-09-28</x:v>
      </x:c>
      <x:c r="D28" s="2" t="n">
        <x:v>2</x:v>
      </x:c>
      <x:c r="E28" s="2" t="n">
        <x:f>COUNTIFS(SourceData!C$8:C$13,"&gt;="&amp;DATE(2026,9,28),SourceData!C$8:C$13,"&lt;"&amp;DATE(2026,10,5))</x:f>
        <x:v>2</x:v>
      </x:c>
      <x:c r="F28" s="2" t="n">
        <x:f>D28-E28</x:f>
        <x:v>0</x:v>
      </x:c>
      <x:c r="G28" s="2" t="str">
        <x:f>IF(F28=0,"Matches","Review")</x:f>
        <x:v>Matches</x:v>
      </x:c>
      <x:c r="H28" s="2"/>
    </x:row>
    <x:row r="29" ht="22" customHeight="1">
      <x:c r="B29" s="2" t="str">
        <x:v>monthly</x:v>
      </x:c>
      <x:c r="C29" s="2" t="str">
        <x:v>2026-01</x:v>
      </x:c>
      <x:c r="D29" s="2" t="n">
        <x:v>1</x:v>
      </x:c>
      <x:c r="E29" s="2" t="n">
        <x:f>COUNTIFS(SourceData!C$8:C$13,"&gt;="&amp;DATE(2026,1,1),SourceData!C$8:C$13,"&lt;"&amp;DATE(2026,2,1))</x:f>
        <x:v>1</x:v>
      </x:c>
      <x:c r="F29" s="2" t="n">
        <x:f>D29-E29</x:f>
        <x:v>0</x:v>
      </x:c>
      <x:c r="G29" s="2" t="str">
        <x:f>IF(F29=0,"Matches","Review")</x:f>
        <x:v>Matches</x:v>
      </x:c>
      <x:c r="H29" s="2"/>
    </x:row>
    <x:row r="30" ht="22" customHeight="1">
      <x:c r="B30" s="2" t="str">
        <x:v>monthly</x:v>
      </x:c>
      <x:c r="C30" s="2" t="str">
        <x:v>2026-03</x:v>
      </x:c>
      <x:c r="D30" s="2" t="n">
        <x:v>1</x:v>
      </x:c>
      <x:c r="E30" s="2" t="n">
        <x:f>COUNTIFS(SourceData!C$8:C$13,"&gt;="&amp;DATE(2026,3,1),SourceData!C$8:C$13,"&lt;"&amp;DATE(2026,4,1))</x:f>
        <x:v>1</x:v>
      </x:c>
      <x:c r="F30" s="2" t="n">
        <x:f>D30-E30</x:f>
        <x:v>0</x:v>
      </x:c>
      <x:c r="G30" s="2" t="str">
        <x:f>IF(F30=0,"Matches","Review")</x:f>
        <x:v>Matches</x:v>
      </x:c>
      <x:c r="H30" s="2"/>
    </x:row>
    <x:row r="31" ht="22" customHeight="1">
      <x:c r="B31" s="2" t="str">
        <x:v>monthly</x:v>
      </x:c>
      <x:c r="C31" s="2" t="str">
        <x:v>2026-04</x:v>
      </x:c>
      <x:c r="D31" s="2" t="n">
        <x:v>1</x:v>
      </x:c>
      <x:c r="E31" s="2" t="n">
        <x:f>COUNTIFS(SourceData!C$8:C$13,"&gt;="&amp;DATE(2026,4,1),SourceData!C$8:C$13,"&lt;"&amp;DATE(2026,5,1))</x:f>
        <x:v>1</x:v>
      </x:c>
      <x:c r="F31" s="2" t="n">
        <x:f>D31-E31</x:f>
        <x:v>0</x:v>
      </x:c>
      <x:c r="G31" s="2" t="str">
        <x:f>IF(F31=0,"Matches","Review")</x:f>
        <x:v>Matches</x:v>
      </x:c>
      <x:c r="H31" s="2"/>
    </x:row>
    <x:row r="32" ht="22" customHeight="1">
      <x:c r="B32" s="2" t="str">
        <x:v>monthly</x:v>
      </x:c>
      <x:c r="C32" s="2" t="str">
        <x:v>2026-07</x:v>
      </x:c>
      <x:c r="D32" s="2" t="n">
        <x:v>1</x:v>
      </x:c>
      <x:c r="E32" s="2" t="n">
        <x:f>COUNTIFS(SourceData!C$8:C$13,"&gt;="&amp;DATE(2026,7,1),SourceData!C$8:C$13,"&lt;"&amp;DATE(2026,8,1))</x:f>
        <x:v>1</x:v>
      </x:c>
      <x:c r="F32" s="2" t="n">
        <x:f>D32-E32</x:f>
        <x:v>0</x:v>
      </x:c>
      <x:c r="G32" s="2" t="str">
        <x:f>IF(F32=0,"Matches","Review")</x:f>
        <x:v>Matches</x:v>
      </x:c>
      <x:c r="H32" s="2"/>
    </x:row>
    <x:row r="33" ht="22" customHeight="1">
      <x:c r="B33" s="2" t="str">
        <x:v>monthly</x:v>
      </x:c>
      <x:c r="C33" s="2" t="str">
        <x:v>2026-09</x:v>
      </x:c>
      <x:c r="D33" s="2" t="n">
        <x:v>1</x:v>
      </x:c>
      <x:c r="E33" s="2" t="n">
        <x:f>COUNTIFS(SourceData!C$8:C$13,"&gt;="&amp;DATE(2026,9,1),SourceData!C$8:C$13,"&lt;"&amp;DATE(2026,10,1))</x:f>
        <x:v>1</x:v>
      </x:c>
      <x:c r="F33" s="2" t="n">
        <x:f>D33-E33</x:f>
        <x:v>0</x:v>
      </x:c>
      <x:c r="G33" s="2" t="str">
        <x:f>IF(F33=0,"Matches","Review")</x:f>
        <x:v>Matches</x:v>
      </x:c>
      <x:c r="H33" s="2"/>
    </x:row>
    <x:row r="34" ht="22" customHeight="1">
      <x:c r="B34" s="2" t="str">
        <x:v>monthly</x:v>
      </x:c>
      <x:c r="C34" s="2" t="str">
        <x:v>2026-10</x:v>
      </x:c>
      <x:c r="D34" s="2" t="n">
        <x:v>1</x:v>
      </x:c>
      <x:c r="E34" s="2" t="n">
        <x:f>COUNTIFS(SourceData!C$8:C$13,"&gt;="&amp;DATE(2026,10,1),SourceData!C$8:C$13,"&lt;"&amp;DATE(2026,11,1))</x:f>
        <x:v>1</x:v>
      </x:c>
      <x:c r="F34" s="2" t="n">
        <x:f>D34-E34</x:f>
        <x:v>0</x:v>
      </x:c>
      <x:c r="G34" s="2" t="str">
        <x:f>IF(F34=0,"Matches","Review")</x:f>
        <x:v>Matches</x:v>
      </x:c>
      <x:c r="H34" s="2"/>
    </x:row>
    <x:row r="35" ht="22" customHeight="1">
      <x:c r="B35" s="2" t="str">
        <x:v>quarterly</x:v>
      </x:c>
      <x:c r="C35" s="2" t="str">
        <x:v>2026-Q1</x:v>
      </x:c>
      <x:c r="D35" s="2" t="n">
        <x:v>2</x:v>
      </x:c>
      <x:c r="E35" s="2" t="n">
        <x:f>COUNTIFS(SourceData!C$8:C$13,"&gt;="&amp;DATE(2026,1,1),SourceData!C$8:C$13,"&lt;"&amp;DATE(2026,4,1))</x:f>
        <x:v>2</x:v>
      </x:c>
      <x:c r="F35" s="2" t="n">
        <x:f>D35-E35</x:f>
        <x:v>0</x:v>
      </x:c>
      <x:c r="G35" s="2" t="str">
        <x:f>IF(F35=0,"Matches","Review")</x:f>
        <x:v>Matches</x:v>
      </x:c>
      <x:c r="H35" s="2"/>
    </x:row>
    <x:row r="36" ht="22" customHeight="1">
      <x:c r="B36" s="2" t="str">
        <x:v>quarterly</x:v>
      </x:c>
      <x:c r="C36" s="2" t="str">
        <x:v>2026-Q2</x:v>
      </x:c>
      <x:c r="D36" s="2" t="n">
        <x:v>1</x:v>
      </x:c>
      <x:c r="E36" s="2" t="n">
        <x:f>COUNTIFS(SourceData!C$8:C$13,"&gt;="&amp;DATE(2026,4,1),SourceData!C$8:C$13,"&lt;"&amp;DATE(2026,7,1))</x:f>
        <x:v>1</x:v>
      </x:c>
      <x:c r="F36" s="2" t="n">
        <x:f>D36-E36</x:f>
        <x:v>0</x:v>
      </x:c>
      <x:c r="G36" s="2" t="str">
        <x:f>IF(F36=0,"Matches","Review")</x:f>
        <x:v>Matches</x:v>
      </x:c>
      <x:c r="H36" s="2"/>
    </x:row>
    <x:row r="37" ht="22" customHeight="1">
      <x:c r="B37" s="2" t="str">
        <x:v>quarterly</x:v>
      </x:c>
      <x:c r="C37" s="2" t="str">
        <x:v>2026-Q3</x:v>
      </x:c>
      <x:c r="D37" s="2" t="n">
        <x:v>2</x:v>
      </x:c>
      <x:c r="E37" s="2" t="n">
        <x:f>COUNTIFS(SourceData!C$8:C$13,"&gt;="&amp;DATE(2026,7,1),SourceData!C$8:C$13,"&lt;"&amp;DATE(2026,10,1))</x:f>
        <x:v>2</x:v>
      </x:c>
      <x:c r="F37" s="2" t="n">
        <x:f>D37-E37</x:f>
        <x:v>0</x:v>
      </x:c>
      <x:c r="G37" s="2" t="str">
        <x:f>IF(F37=0,"Matches","Review")</x:f>
        <x:v>Matches</x:v>
      </x:c>
      <x:c r="H37" s="2"/>
    </x:row>
    <x:row r="38" ht="22" customHeight="1">
      <x:c r="B38" s="2" t="str">
        <x:v>quarterly</x:v>
      </x:c>
      <x:c r="C38" s="2" t="str">
        <x:v>2026-Q4</x:v>
      </x:c>
      <x:c r="D38" s="2" t="n">
        <x:v>1</x:v>
      </x:c>
      <x:c r="E38" s="2" t="n">
        <x:f>COUNTIFS(SourceData!C$8:C$13,"&gt;="&amp;DATE(2026,10,1),SourceData!C$8:C$13,"&lt;"&amp;DATE(2027,1,1))</x:f>
        <x:v>1</x:v>
      </x:c>
      <x:c r="F38" s="2" t="n">
        <x:f>D38-E38</x:f>
        <x:v>0</x:v>
      </x:c>
      <x:c r="G38" s="2" t="str">
        <x:f>IF(F38=0,"Matches","Review")</x:f>
        <x:v>Matches</x:v>
      </x:c>
      <x:c r="H38" s="2"/>
    </x:row>
    <x:row r="39" ht="22" customHeight="1">
      <x:c r="B39" s="2"/>
      <x:c r="C39" s="2"/>
      <x:c r="D39" s="2"/>
      <x:c r="E39" s="2"/>
      <x:c r="F39" s="2"/>
      <x:c r="G39" s="2"/>
      <x:c r="H39" s="2"/>
    </x:row>
    <x:row r="40" ht="22" customHeight="1">
      <x:c r="B40" s="2"/>
      <x:c r="C40" s="2"/>
      <x:c r="D40" s="2"/>
      <x:c r="E40" s="2"/>
      <x:c r="F40" s="2"/>
      <x:c r="G40" s="2"/>
      <x:c r="H40" s="2"/>
    </x:row>
    <x:row r="41" ht="22" customHeight="1">
      <x:c r="B41" s="2"/>
      <x:c r="C41" s="2"/>
      <x:c r="D41" s="2"/>
      <x:c r="E41" s="2"/>
      <x:c r="F41" s="2"/>
      <x:c r="G41" s="2"/>
      <x:c r="H41" s="2"/>
    </x:row>
    <x:row r="42" ht="22" customHeight="1">
      <x:c r="B42" s="2"/>
      <x:c r="C42" s="2"/>
      <x:c r="D42" s="2"/>
      <x:c r="E42" s="2"/>
      <x:c r="F42" s="2"/>
      <x:c r="G42" s="2"/>
      <x:c r="H42" s="2"/>
    </x:row>
    <x:row r="43" ht="22" customHeight="1">
      <x:c r="B43" s="2"/>
      <x:c r="C43" s="2"/>
      <x:c r="D43" s="2"/>
      <x:c r="E43" s="2"/>
      <x:c r="F43" s="2"/>
      <x:c r="G43" s="2"/>
      <x:c r="H43" s="2"/>
    </x:row>
    <x:row r="44" ht="22" customHeight="1">
      <x:c r="B44" s="2"/>
      <x:c r="C44" s="2"/>
      <x:c r="D44" s="2"/>
      <x:c r="E44" s="2"/>
      <x:c r="F44" s="2"/>
      <x:c r="G44" s="2"/>
      <x:c r="H44" s="2"/>
    </x:row>
    <x:row r="45" ht="22" customHeight="1">
      <x:c r="B45" s="2"/>
      <x:c r="C45" s="2"/>
      <x:c r="D45" s="2"/>
      <x:c r="E45" s="2"/>
      <x:c r="F45" s="2"/>
      <x:c r="G45" s="2"/>
      <x:c r="H45" s="2"/>
    </x:row>
    <x:row r="46" ht="22" customHeight="1">
      <x:c r="B46" s="2"/>
      <x:c r="C46" s="2"/>
      <x:c r="D46" s="2"/>
      <x:c r="E46" s="2"/>
      <x:c r="F46" s="2"/>
      <x:c r="G46" s="2"/>
      <x:c r="H46" s="2"/>
    </x:row>
    <x:row r="47" ht="22" customHeight="1">
      <x:c r="B47" s="2"/>
      <x:c r="C47" s="2"/>
      <x:c r="D47" s="2"/>
      <x:c r="E47" s="2"/>
      <x:c r="F47" s="2"/>
      <x:c r="G47" s="2"/>
      <x:c r="H47" s="2"/>
    </x:row>
    <x:row r="48" ht="22" customHeight="1">
      <x:c r="B48" s="2"/>
      <x:c r="C48" s="2"/>
      <x:c r="D48" s="2"/>
      <x:c r="E48" s="2"/>
      <x:c r="F48" s="2"/>
      <x:c r="G48" s="2"/>
      <x:c r="H48" s="2"/>
    </x:row>
    <x:row r="49" ht="22" customHeight="1">
      <x:c r="B49" s="2"/>
      <x:c r="C49" s="2"/>
      <x:c r="D49" s="2"/>
      <x:c r="E49" s="2"/>
      <x:c r="F49" s="2"/>
      <x:c r="G49" s="2"/>
      <x:c r="H49" s="2"/>
    </x:row>
    <x:row r="50" ht="22" customHeight="1">
      <x:c r="B50" s="2"/>
      <x:c r="C50" s="2"/>
      <x:c r="D50" s="2"/>
      <x:c r="E50" s="2"/>
      <x:c r="F50" s="2"/>
      <x:c r="G50" s="2"/>
      <x:c r="H50" s="2"/>
    </x:row>
    <x:row r="51" ht="22" customHeight="1">
      <x:c r="B51" s="2"/>
      <x:c r="C51" s="2"/>
      <x:c r="D51" s="2"/>
      <x:c r="E51" s="2"/>
      <x:c r="F51" s="2"/>
      <x:c r="G51" s="2"/>
      <x:c r="H51" s="2"/>
    </x:row>
    <x:row r="52" ht="22" customHeight="1">
      <x:c r="B52" s="2"/>
      <x:c r="C52" s="2"/>
      <x:c r="D52" s="2"/>
      <x:c r="E52" s="2"/>
      <x:c r="F52" s="2"/>
      <x:c r="G52" s="2"/>
      <x:c r="H52" s="2"/>
    </x:row>
  </x:sheetData>
  <x:conditionalFormatting sqref="F9:F13">
    <x:cfRule type="containsText" dxfId="0" priority="1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20" hidden="0" customWidth="1"/>
    <x:col min="3" max="3" width="20" hidden="0" customWidth="1"/>
    <x:col min="4" max="4" width="34" hidden="0" customWidth="1"/>
    <x:col min="5" max="5" width="22" hidden="0" customWidth="1"/>
    <x:col min="6" max="6" width="18" hidden="0" customWidth="1"/>
    <x:col min="7" max="7" width="18" hidden="0" customWidth="1"/>
  </x:cols>
  <x:sheetData>
    <x:row r="2" ht="22" customHeight="1">
      <x:c r="B2" s="3" t="str">
        <x:v>Source observations</x:v>
      </x:c>
      <x:c r="C2" s="2"/>
      <x:c r="D2" s="2"/>
      <x:c r="E2" s="2"/>
      <x:c r="F2" s="2"/>
      <x:c r="G2" s="2"/>
      <x:c r="H2" s="2"/>
    </x:row>
    <x:row r="3" ht="22" customHeight="1">
      <x:c r="B3" s="2"/>
      <x:c r="C3" s="2"/>
      <x:c r="D3" s="2"/>
      <x:c r="E3" s="2"/>
      <x:c r="F3" s="2"/>
      <x:c r="G3" s="2"/>
      <x:c r="H3" s="2"/>
    </x:row>
    <x:row r="4" ht="22" customHeight="1">
      <x:c r="B4" s="2" t="str">
        <x:v>Source: generated local PostgreSQL fixture, six distinct learners; not client staging.</x:v>
      </x:c>
      <x:c r="C4" s="2"/>
      <x:c r="D4" s="2"/>
      <x:c r="E4" s="2"/>
      <x:c r="F4" s="2"/>
      <x:c r="G4" s="2"/>
      <x:c r="H4" s="2"/>
    </x:row>
    <x:row r="5" ht="22" customHeight="1">
      <x:c r="B5" s="2" t="str">
        <x:v>Completion is current eligibility. Scores include every graded attempt in the date range.</x:v>
      </x:c>
      <x:c r="C5" s="2"/>
      <x:c r="D5" s="2"/>
      <x:c r="E5" s="2"/>
      <x:c r="F5" s="2"/>
      <x:c r="G5" s="2"/>
      <x:c r="H5" s="2"/>
    </x:row>
    <x:row r="6" ht="22" customHeight="1">
      <x:c r="B6" s="2"/>
      <x:c r="C6" s="2"/>
      <x:c r="D6" s="2"/>
      <x:c r="E6" s="2"/>
      <x:c r="F6" s="2"/>
      <x:c r="G6" s="2"/>
      <x:c r="H6" s="2"/>
    </x:row>
    <x:row r="7" ht="26" customHeight="1">
      <x:c r="B7" s="7" t="str">
        <x:v>Enrollment ID</x:v>
      </x:c>
      <x:c r="C7" s="7" t="str">
        <x:v>Enrolled date</x:v>
      </x:c>
      <x:c r="D7" s="7" t="str">
        <x:v>Course</x:v>
      </x:c>
      <x:c r="E7" s="7" t="str">
        <x:v>Completed (0/1)</x:v>
      </x:c>
      <x:c r="F7" s="7" t="str">
        <x:v>Score (%)</x:v>
      </x:c>
      <x:c r="G7" s="7" t="str">
        <x:v>Learner ID</x:v>
      </x:c>
      <x:c r="H7" s="2"/>
    </x:row>
    <x:row r="8" ht="22" customHeight="1">
      <x:c r="B8" s="2" t="n">
        <x:v>1</x:v>
      </x:c>
      <x:c r="C8" s="12" t="d">
        <x:v>2026-01-15T12:00:00.000Z</x:v>
      </x:c>
      <x:c r="D8" s="2" t="str">
        <x:v>Baseline practice course 1</x:v>
      </x:c>
      <x:c r="E8" s="2" t="n">
        <x:v>1</x:v>
      </x:c>
      <x:c r="F8" s="13" t="n">
        <x:v>100</x:v>
      </x:c>
      <x:c r="G8" s="2" t="n">
        <x:v>1</x:v>
      </x:c>
      <x:c r="H8" s="2"/>
    </x:row>
    <x:row r="9" ht="22" customHeight="1">
      <x:c r="B9" s="2" t="n">
        <x:v>2</x:v>
      </x:c>
      <x:c r="C9" s="12" t="d">
        <x:v>2026-03-31T12:00:00.000Z</x:v>
      </x:c>
      <x:c r="D9" s="2" t="str">
        <x:v>Baseline practice course 2</x:v>
      </x:c>
      <x:c r="E9" s="2" t="n">
        <x:v>1</x:v>
      </x:c>
      <x:c r="F9" s="13" t="n">
        <x:v>80</x:v>
      </x:c>
      <x:c r="G9" s="2" t="n">
        <x:v>2</x:v>
      </x:c>
      <x:c r="H9" s="2"/>
    </x:row>
    <x:row r="10" ht="22" customHeight="1">
      <x:c r="B10" s="2" t="n">
        <x:v>3</x:v>
      </x:c>
      <x:c r="C10" s="12" t="d">
        <x:v>2026-04-01T12:00:00.000Z</x:v>
      </x:c>
      <x:c r="D10" s="2" t="str">
        <x:v>Baseline practice course 1</x:v>
      </x:c>
      <x:c r="E10" s="2" t="n">
        <x:v>0</x:v>
      </x:c>
      <x:c r="F10" s="13" t="n">
        <x:v>0</x:v>
      </x:c>
      <x:c r="G10" s="2" t="n">
        <x:v>3</x:v>
      </x:c>
      <x:c r="H10" s="2"/>
    </x:row>
    <x:row r="11" ht="22" customHeight="1">
      <x:c r="B11" s="2" t="n">
        <x:v>4</x:v>
      </x:c>
      <x:c r="C11" s="12" t="d">
        <x:v>2026-07-01T12:00:00.000Z</x:v>
      </x:c>
      <x:c r="D11" s="2" t="str">
        <x:v>Baseline practice course 2</x:v>
      </x:c>
      <x:c r="E11" s="2" t="n">
        <x:v>1</x:v>
      </x:c>
      <x:c r="F11" s="13" t="n">
        <x:v>60</x:v>
      </x:c>
      <x:c r="G11" s="2" t="n">
        <x:v>4</x:v>
      </x:c>
      <x:c r="H11" s="2"/>
    </x:row>
    <x:row r="12" ht="22" customHeight="1">
      <x:c r="B12" s="2" t="n">
        <x:v>5</x:v>
      </x:c>
      <x:c r="C12" s="12" t="d">
        <x:v>2026-09-30T12:00:00.000Z</x:v>
      </x:c>
      <x:c r="D12" s="2" t="str">
        <x:v>Baseline practice course 1</x:v>
      </x:c>
      <x:c r="E12" s="2" t="n">
        <x:v>0</x:v>
      </x:c>
      <x:c r="F12" s="13" t="n">
        <x:v>40</x:v>
      </x:c>
      <x:c r="G12" s="2" t="n">
        <x:v>5</x:v>
      </x:c>
      <x:c r="H12" s="2"/>
    </x:row>
    <x:row r="13" ht="22" customHeight="1">
      <x:c r="B13" s="2" t="n">
        <x:v>6</x:v>
      </x:c>
      <x:c r="C13" s="12" t="d">
        <x:v>2026-10-01T12:00:00.000Z</x:v>
      </x:c>
      <x:c r="D13" s="2" t="str">
        <x:v>Baseline practice course 2</x:v>
      </x:c>
      <x:c r="E13" s="2" t="n">
        <x:v>1</x:v>
      </x:c>
      <x:c r="F13" s="13" t="n">
        <x:v>90</x:v>
      </x:c>
      <x:c r="G13" s="2" t="n">
        <x:v>6</x:v>
      </x:c>
      <x:c r="H13" s="2"/>
    </x:row>
    <x:row r="14" ht="22" customHeight="1">
      <x:c r="B14" s="2"/>
      <x:c r="C14" s="2"/>
      <x:c r="D14" s="2"/>
      <x:c r="E14" s="2"/>
      <x:c r="F14" s="2"/>
      <x:c r="G14" s="2"/>
      <x:c r="H14" s="2"/>
    </x:row>
    <x:row r="15" ht="22" customHeight="1">
      <x:c r="B15" s="2" t="str">
        <x:v>Source: explicit local attendance fixture. PRESENT and LATE count as attended.</x:v>
      </x:c>
      <x:c r="C15" s="2"/>
      <x:c r="D15" s="2"/>
      <x:c r="E15" s="2"/>
      <x:c r="F15" s="2"/>
      <x:c r="G15" s="2"/>
      <x:c r="H15" s="2"/>
    </x:row>
    <x:row r="16" ht="22" customHeight="1">
      <x:c r="B16" s="2"/>
      <x:c r="C16" s="2"/>
      <x:c r="D16" s="2"/>
      <x:c r="E16" s="2"/>
      <x:c r="F16" s="2"/>
      <x:c r="G16" s="2"/>
      <x:c r="H16" s="2"/>
    </x:row>
    <x:row r="17" ht="26" customHeight="1">
      <x:c r="B17" s="7" t="str">
        <x:v>Session</x:v>
      </x:c>
      <x:c r="C17" s="7" t="str">
        <x:v>Learner ID</x:v>
      </x:c>
      <x:c r="D17" s="7" t="str">
        <x:v>Date</x:v>
      </x:c>
      <x:c r="E17" s="7" t="str">
        <x:v>Status</x:v>
      </x:c>
      <x:c r="F17" s="7" t="str">
        <x:v>Eligible</x:v>
      </x:c>
      <x:c r="G17" s="7" t="str">
        <x:v>Attended</x:v>
      </x:c>
      <x:c r="H17" s="2"/>
    </x:row>
    <x:row r="18" ht="22" customHeight="1">
      <x:c r="B18" s="2" t="str">
        <x:v>local-baseline</x:v>
      </x:c>
      <x:c r="C18" s="2" t="n">
        <x:v>1</x:v>
      </x:c>
      <x:c r="D18" s="12" t="d">
        <x:v>2026-10-01T00:00:00.000Z</x:v>
      </x:c>
      <x:c r="E18" s="2" t="str">
        <x:v>PRESENT</x:v>
      </x:c>
      <x:c r="F18" s="2" t="n">
        <x:f>IF(E18="EXCUSED",0,1)</x:f>
        <x:v>1</x:v>
      </x:c>
      <x:c r="G18" s="2" t="n">
        <x:f>IF(OR(E18="PRESENT",E18="LATE"),1,0)</x:f>
        <x:v>1</x:v>
      </x:c>
      <x:c r="H18" s="2"/>
    </x:row>
    <x:row r="19" ht="22" customHeight="1">
      <x:c r="B19" s="2" t="str">
        <x:v>local-baseline</x:v>
      </x:c>
      <x:c r="C19" s="2" t="n">
        <x:v>2</x:v>
      </x:c>
      <x:c r="D19" s="12" t="d">
        <x:v>2026-10-01T00:00:00.000Z</x:v>
      </x:c>
      <x:c r="E19" s="2" t="str">
        <x:v>PRESENT</x:v>
      </x:c>
      <x:c r="F19" s="2" t="n">
        <x:f>IF(E19="EXCUSED",0,1)</x:f>
        <x:v>1</x:v>
      </x:c>
      <x:c r="G19" s="2" t="n">
        <x:f>IF(OR(E19="PRESENT",E19="LATE"),1,0)</x:f>
        <x:v>1</x:v>
      </x:c>
      <x:c r="H19" s="2"/>
    </x:row>
    <x:row r="20" ht="22" customHeight="1">
      <x:c r="B20" s="2" t="str">
        <x:v>local-baseline</x:v>
      </x:c>
      <x:c r="C20" s="2" t="n">
        <x:v>3</x:v>
      </x:c>
      <x:c r="D20" s="12" t="d">
        <x:v>2026-10-01T00:00:00.000Z</x:v>
      </x:c>
      <x:c r="E20" s="2" t="str">
        <x:v>LATE</x:v>
      </x:c>
      <x:c r="F20" s="2" t="n">
        <x:f>IF(E20="EXCUSED",0,1)</x:f>
        <x:v>1</x:v>
      </x:c>
      <x:c r="G20" s="2" t="n">
        <x:f>IF(OR(E20="PRESENT",E20="LATE"),1,0)</x:f>
        <x:v>1</x:v>
      </x:c>
      <x:c r="H20" s="2"/>
    </x:row>
    <x:row r="21" ht="22" customHeight="1">
      <x:c r="B21" s="2" t="str">
        <x:v>local-baseline</x:v>
      </x:c>
      <x:c r="C21" s="2" t="n">
        <x:v>4</x:v>
      </x:c>
      <x:c r="D21" s="12" t="d">
        <x:v>2026-10-01T00:00:00.000Z</x:v>
      </x:c>
      <x:c r="E21" s="2" t="str">
        <x:v>ABSENT</x:v>
      </x:c>
      <x:c r="F21" s="2" t="n">
        <x:f>IF(E21="EXCUSED",0,1)</x:f>
        <x:v>1</x:v>
      </x:c>
      <x:c r="G21" s="2" t="n">
        <x:f>IF(OR(E21="PRESENT",E21="LATE"),1,0)</x:f>
        <x:v>0</x:v>
      </x:c>
      <x:c r="H21" s="2"/>
    </x:row>
    <x:row r="22" ht="22" customHeight="1">
      <x:c r="B22" s="2" t="str">
        <x:v>local-baseline</x:v>
      </x:c>
      <x:c r="C22" s="2" t="n">
        <x:v>5</x:v>
      </x:c>
      <x:c r="D22" s="12" t="d">
        <x:v>2026-10-01T00:00:00.000Z</x:v>
      </x:c>
      <x:c r="E22" s="2" t="str">
        <x:v>EXCUSED</x:v>
      </x:c>
      <x:c r="F22" s="2" t="n">
        <x:f>IF(E22="EXCUSED",0,1)</x:f>
        <x:v>0</x:v>
      </x:c>
      <x:c r="G22" s="2" t="n">
        <x:f>IF(OR(E22="PRESENT",E22="LATE"),1,0)</x:f>
        <x:v>0</x:v>
      </x:c>
      <x:c r="H22" s="2"/>
    </x:row>
    <x:row r="23" ht="22" customHeight="1">
      <x:c r="B23" s="2"/>
      <x:c r="C23" s="2"/>
      <x:c r="D23" s="2"/>
      <x:c r="E23" s="2"/>
      <x:c r="F23" s="2"/>
      <x:c r="G23" s="2"/>
      <x:c r="H23" s="2"/>
    </x:row>
    <x:row r="24" ht="22" customHeight="1">
      <x:c r="B24" s="2"/>
      <x:c r="C24" s="2"/>
      <x:c r="D24" s="2"/>
      <x:c r="E24" s="2"/>
      <x:c r="F24" s="2"/>
      <x:c r="G24" s="2"/>
      <x:c r="H24" s="2"/>
    </x:row>
    <x:row r="25" ht="22" customHeight="1">
      <x:c r="B25" s="2" t="str">
        <x:v>Source: elapsed query time measured in this local environment. No staging SLA is inferred.</x:v>
      </x:c>
      <x:c r="C25" s="2"/>
      <x:c r="D25" s="2"/>
      <x:c r="E25" s="2"/>
      <x:c r="F25" s="2"/>
      <x:c r="G25" s="2"/>
      <x:c r="H25" s="2"/>
    </x:row>
    <x:row r="26" ht="22" customHeight="1">
      <x:c r="B26" s="2"/>
      <x:c r="C26" s="2"/>
      <x:c r="D26" s="2"/>
      <x:c r="E26" s="2"/>
      <x:c r="F26" s="2"/>
      <x:c r="G26" s="2"/>
      <x:c r="H26" s="2"/>
    </x:row>
    <x:row r="27" ht="26" customHeight="1">
      <x:c r="B27" s="7" t="str">
        <x:v>Grouping</x:v>
      </x:c>
      <x:c r="C27" s="7" t="str">
        <x:v>Query</x:v>
      </x:c>
      <x:c r="D27" s="7" t="str">
        <x:v>Latency (ms)</x:v>
      </x:c>
      <x:c r="E27" s="7" t="str">
        <x:v>Environment</x:v>
      </x:c>
      <x:c r="F27" s="2"/>
      <x:c r="G27" s="2"/>
      <x:c r="H27" s="2"/>
    </x:row>
    <x:row r="28" ht="22" customHeight="1">
      <x:c r="B28" s="2" t="str">
        <x:v>weekly</x:v>
      </x:c>
      <x:c r="C28" s="2" t="n">
        <x:v>1</x:v>
      </x:c>
      <x:c r="D28" s="11" t="n">
        <x:v>155.553</x:v>
      </x:c>
      <x:c r="E28" s="2" t="str">
        <x:v>Local fixture</x:v>
      </x:c>
      <x:c r="F28" s="2"/>
      <x:c r="G28" s="2"/>
      <x:c r="H28" s="2"/>
    </x:row>
    <x:row r="29" ht="22" customHeight="1">
      <x:c r="B29" s="2" t="str">
        <x:v>weekly</x:v>
      </x:c>
      <x:c r="C29" s="2" t="n">
        <x:v>2</x:v>
      </x:c>
      <x:c r="D29" s="11" t="n">
        <x:v>13.923</x:v>
      </x:c>
      <x:c r="E29" s="2" t="str">
        <x:v>Local fixture</x:v>
      </x:c>
      <x:c r="F29" s="2"/>
      <x:c r="G29" s="2"/>
      <x:c r="H29" s="2"/>
    </x:row>
    <x:row r="30" ht="22" customHeight="1">
      <x:c r="B30" s="2" t="str">
        <x:v>weekly</x:v>
      </x:c>
      <x:c r="C30" s="2" t="n">
        <x:v>3</x:v>
      </x:c>
      <x:c r="D30" s="11" t="n">
        <x:v>6.199</x:v>
      </x:c>
      <x:c r="E30" s="2" t="str">
        <x:v>Local fixture</x:v>
      </x:c>
      <x:c r="F30" s="2"/>
      <x:c r="G30" s="2"/>
      <x:c r="H30" s="2"/>
    </x:row>
    <x:row r="31" ht="22" customHeight="1">
      <x:c r="B31" s="2" t="str">
        <x:v>weekly</x:v>
      </x:c>
      <x:c r="C31" s="2" t="n">
        <x:v>4</x:v>
      </x:c>
      <x:c r="D31" s="11" t="n">
        <x:v>30.035</x:v>
      </x:c>
      <x:c r="E31" s="2" t="str">
        <x:v>Local fixture</x:v>
      </x:c>
      <x:c r="F31" s="2"/>
      <x:c r="G31" s="2"/>
      <x:c r="H31" s="2"/>
    </x:row>
    <x:row r="32" ht="22" customHeight="1">
      <x:c r="B32" s="2" t="str">
        <x:v>weekly</x:v>
      </x:c>
      <x:c r="C32" s="2" t="n">
        <x:v>5</x:v>
      </x:c>
      <x:c r="D32" s="11" t="n">
        <x:v>8.08</x:v>
      </x:c>
      <x:c r="E32" s="2" t="str">
        <x:v>Local fixture</x:v>
      </x:c>
      <x:c r="F32" s="2"/>
      <x:c r="G32" s="2"/>
      <x:c r="H32" s="2"/>
    </x:row>
    <x:row r="33" ht="22" customHeight="1">
      <x:c r="B33" s="2" t="str">
        <x:v>monthly</x:v>
      </x:c>
      <x:c r="C33" s="2" t="n">
        <x:v>1</x:v>
      </x:c>
      <x:c r="D33" s="11" t="n">
        <x:v>8.195</x:v>
      </x:c>
      <x:c r="E33" s="2" t="str">
        <x:v>Local fixture</x:v>
      </x:c>
      <x:c r="F33" s="2"/>
      <x:c r="G33" s="2"/>
      <x:c r="H33" s="2"/>
    </x:row>
    <x:row r="34" ht="22" customHeight="1">
      <x:c r="B34" s="2" t="str">
        <x:v>monthly</x:v>
      </x:c>
      <x:c r="C34" s="2" t="n">
        <x:v>2</x:v>
      </x:c>
      <x:c r="D34" s="11" t="n">
        <x:v>12.133</x:v>
      </x:c>
      <x:c r="E34" s="2" t="str">
        <x:v>Local fixture</x:v>
      </x:c>
      <x:c r="F34" s="2"/>
      <x:c r="G34" s="2"/>
      <x:c r="H34" s="2"/>
    </x:row>
    <x:row r="35" ht="22" customHeight="1">
      <x:c r="B35" s="2" t="str">
        <x:v>monthly</x:v>
      </x:c>
      <x:c r="C35" s="2" t="n">
        <x:v>3</x:v>
      </x:c>
      <x:c r="D35" s="11" t="n">
        <x:v>5.353</x:v>
      </x:c>
      <x:c r="E35" s="2" t="str">
        <x:v>Local fixture</x:v>
      </x:c>
      <x:c r="F35" s="2"/>
      <x:c r="G35" s="2"/>
      <x:c r="H35" s="2"/>
    </x:row>
    <x:row r="36" ht="22" customHeight="1">
      <x:c r="B36" s="2" t="str">
        <x:v>monthly</x:v>
      </x:c>
      <x:c r="C36" s="2" t="n">
        <x:v>4</x:v>
      </x:c>
      <x:c r="D36" s="11" t="n">
        <x:v>5.239</x:v>
      </x:c>
      <x:c r="E36" s="2" t="str">
        <x:v>Local fixture</x:v>
      </x:c>
      <x:c r="F36" s="2"/>
      <x:c r="G36" s="2"/>
      <x:c r="H36" s="2"/>
    </x:row>
    <x:row r="37" ht="22" customHeight="1">
      <x:c r="B37" s="2" t="str">
        <x:v>monthly</x:v>
      </x:c>
      <x:c r="C37" s="2" t="n">
        <x:v>5</x:v>
      </x:c>
      <x:c r="D37" s="11" t="n">
        <x:v>6.189</x:v>
      </x:c>
      <x:c r="E37" s="2" t="str">
        <x:v>Local fixture</x:v>
      </x:c>
      <x:c r="F37" s="2"/>
      <x:c r="G37" s="2"/>
      <x:c r="H37" s="2"/>
    </x:row>
    <x:row r="38" ht="22" customHeight="1">
      <x:c r="B38" s="2" t="str">
        <x:v>quarterly</x:v>
      </x:c>
      <x:c r="C38" s="2" t="n">
        <x:v>1</x:v>
      </x:c>
      <x:c r="D38" s="11" t="n">
        <x:v>5.666</x:v>
      </x:c>
      <x:c r="E38" s="2" t="str">
        <x:v>Local fixture</x:v>
      </x:c>
      <x:c r="F38" s="2"/>
      <x:c r="G38" s="2"/>
      <x:c r="H38" s="2"/>
    </x:row>
    <x:row r="39" ht="22" customHeight="1">
      <x:c r="B39" s="2" t="str">
        <x:v>quarterly</x:v>
      </x:c>
      <x:c r="C39" s="2" t="n">
        <x:v>2</x:v>
      </x:c>
      <x:c r="D39" s="11" t="n">
        <x:v>5.026</x:v>
      </x:c>
      <x:c r="E39" s="2" t="str">
        <x:v>Local fixture</x:v>
      </x:c>
      <x:c r="F39" s="2"/>
      <x:c r="G39" s="2"/>
      <x:c r="H39" s="2"/>
    </x:row>
    <x:row r="40" ht="22" customHeight="1">
      <x:c r="B40" s="2" t="str">
        <x:v>quarterly</x:v>
      </x:c>
      <x:c r="C40" s="2" t="n">
        <x:v>3</x:v>
      </x:c>
      <x:c r="D40" s="11" t="n">
        <x:v>6.176</x:v>
      </x:c>
      <x:c r="E40" s="2" t="str">
        <x:v>Local fixture</x:v>
      </x:c>
      <x:c r="F40" s="2"/>
      <x:c r="G40" s="2"/>
      <x:c r="H40" s="2"/>
    </x:row>
    <x:row r="41" ht="22" customHeight="1">
      <x:c r="B41" s="2" t="str">
        <x:v>quarterly</x:v>
      </x:c>
      <x:c r="C41" s="2" t="n">
        <x:v>4</x:v>
      </x:c>
      <x:c r="D41" s="11" t="n">
        <x:v>5.249</x:v>
      </x:c>
      <x:c r="E41" s="2" t="str">
        <x:v>Local fixture</x:v>
      </x:c>
      <x:c r="F41" s="2"/>
      <x:c r="G41" s="2"/>
      <x:c r="H41" s="2"/>
    </x:row>
    <x:row r="42" ht="22" customHeight="1">
      <x:c r="B42" s="2" t="str">
        <x:v>quarterly</x:v>
      </x:c>
      <x:c r="C42" s="2" t="n">
        <x:v>5</x:v>
      </x:c>
      <x:c r="D42" s="11" t="n">
        <x:v>4.395</x:v>
      </x:c>
      <x:c r="E42" s="2" t="str">
        <x:v>Local fixture</x:v>
      </x:c>
      <x:c r="F42" s="2"/>
      <x:c r="G42" s="2"/>
      <x:c r="H42" s="2"/>
    </x:row>
    <x:row r="43" ht="22" customHeight="1">
      <x:c r="B43" s="2"/>
      <x:c r="C43" s="2"/>
      <x:c r="D43" s="2"/>
      <x:c r="E43" s="2"/>
      <x:c r="F43" s="2"/>
      <x:c r="G43" s="2"/>
      <x:c r="H43" s="2"/>
    </x:row>
    <x:row r="44" ht="22" customHeight="1">
      <x:c r="B44" s="2"/>
      <x:c r="C44" s="2"/>
      <x:c r="D44" s="2"/>
      <x:c r="E44" s="2"/>
      <x:c r="F44" s="2"/>
      <x:c r="G44" s="2"/>
      <x:c r="H44" s="2"/>
    </x:row>
    <x:row r="45" ht="22" customHeight="1">
      <x:c r="B45" s="2"/>
      <x:c r="C45" s="2"/>
      <x:c r="D45" s="2"/>
      <x:c r="E45" s="2"/>
      <x:c r="F45" s="2"/>
      <x:c r="G45" s="2"/>
      <x:c r="H45" s="2"/>
    </x:row>
    <x:row r="46" ht="22" customHeight="1">
      <x:c r="B46" s="2"/>
      <x:c r="C46" s="2"/>
      <x:c r="D46" s="2"/>
      <x:c r="E46" s="2"/>
      <x:c r="F46" s="2"/>
      <x:c r="G46" s="2"/>
      <x:c r="H46" s="2"/>
    </x:row>
    <x:row r="47" ht="22" customHeight="1">
      <x:c r="B47" s="2"/>
      <x:c r="C47" s="2"/>
      <x:c r="D47" s="2"/>
      <x:c r="E47" s="2"/>
      <x:c r="F47" s="2"/>
      <x:c r="G47" s="2"/>
      <x:c r="H47" s="2"/>
    </x:row>
    <x:row r="48" ht="22" customHeight="1">
      <x:c r="B48" s="2"/>
      <x:c r="C48" s="2"/>
      <x:c r="D48" s="2"/>
      <x:c r="E48" s="2"/>
      <x:c r="F48" s="2"/>
      <x:c r="G48" s="2"/>
      <x:c r="H48" s="2"/>
    </x:row>
    <x:row r="49" ht="22" customHeight="1">
      <x:c r="B49" s="2"/>
      <x:c r="C49" s="2"/>
      <x:c r="D49" s="2"/>
      <x:c r="E49" s="2"/>
      <x:c r="F49" s="2"/>
      <x:c r="G49" s="2"/>
      <x:c r="H49" s="2"/>
    </x:row>
    <x:row r="50" ht="22" customHeight="1">
      <x:c r="B50" s="2"/>
      <x:c r="C50" s="2"/>
      <x:c r="D50" s="2"/>
      <x:c r="E50" s="2"/>
      <x:c r="F50" s="2"/>
      <x:c r="G50" s="2"/>
      <x:c r="H50" s="2"/>
    </x:row>
    <x:row r="51" ht="22" customHeight="1">
      <x:c r="B51" s="2"/>
      <x:c r="C51" s="2"/>
      <x:c r="D51" s="2"/>
      <x:c r="E51" s="2"/>
      <x:c r="F51" s="2"/>
      <x:c r="G51" s="2"/>
      <x:c r="H51" s="2"/>
    </x:row>
    <x:row r="52" ht="22" customHeight="1">
      <x:c r="B52" s="2"/>
      <x:c r="C52" s="2"/>
      <x:c r="D52" s="2"/>
      <x:c r="E52" s="2"/>
      <x:c r="F52" s="2"/>
      <x:c r="G52" s="2"/>
      <x:c r="H52" s="2"/>
    </x:row>
  </x:sheetData>
  <x:pageMargins left="0.7" right="0.7" top="0.75" bottom="0.75" header="0.3" footer="0.3"/>
</x:worksheet>
</file>